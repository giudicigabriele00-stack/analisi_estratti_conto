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080" yWindow="-120" windowWidth="20730" windowHeight="11040" tabRatio="600" firstSheet="0" activeTab="0" autoFilterDateGrouping="1"/>
  </bookViews>
  <sheets>
    <sheet xmlns:r="http://schemas.openxmlformats.org/officeDocument/2006/relationships" name="Foglio1" sheetId="1" state="visible" r:id="rId1"/>
    <sheet xmlns:r="http://schemas.openxmlformats.org/officeDocument/2006/relationships" name="Foglio_analisi" sheetId="2" state="visible" r:id="rId2"/>
  </sheets>
  <definedNames>
    <definedName name="_xlnm._FilterDatabase" localSheetId="0" hidden="1">'Foglio1'!$A$1:$E$37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\€\ #,##0.00;[Red]\(\€\ #,##0.00\)"/>
    <numFmt numFmtId="165" formatCode="m/d/yyyy"/>
  </numFmts>
  <fonts count="6">
    <font>
      <name val="Aptos Narrow"/>
      <family val="2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FF0000"/>
      <sz val="11"/>
      <scheme val="minor"/>
    </font>
    <font>
      <name val="Aptos Narrow"/>
      <b val="1"/>
      <color rgb="FFFFFFFF"/>
      <sz val="11"/>
      <scheme val="minor"/>
    </font>
    <font>
      <b val="1"/>
      <color rgb="00FFFFFF"/>
      <sz val="12"/>
    </font>
    <font>
      <b val="1"/>
      <color rgb="001F3864"/>
      <sz val="12"/>
    </font>
  </fonts>
  <fills count="6">
    <fill>
      <patternFill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00F2F2F3"/>
      </patternFill>
    </fill>
    <fill>
      <patternFill patternType="solid">
        <fgColor rgb="00FFFFFF"/>
      </patternFill>
    </fill>
    <fill>
      <patternFill patternType="solid">
        <fgColor rgb="001F38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164" fontId="0" fillId="0" borderId="0" pivotButton="0" quotePrefix="0" xfId="0"/>
    <xf numFmtId="0" fontId="1" fillId="2" borderId="1" pivotButton="0" quotePrefix="0" xfId="0"/>
    <xf numFmtId="1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165" fontId="0" fillId="0" borderId="2" pivotButton="0" quotePrefix="0" xfId="0"/>
    <xf numFmtId="164" fontId="2" fillId="0" borderId="2" pivotButton="0" quotePrefix="0" xfId="0"/>
    <xf numFmtId="0" fontId="0" fillId="0" borderId="2" pivotButton="0" quotePrefix="0" xfId="0"/>
    <xf numFmtId="0" fontId="3" fillId="2" borderId="0" pivotButton="0" quotePrefix="0" xfId="0"/>
    <xf numFmtId="0" fontId="0" fillId="0" borderId="3" pivotButton="0" quotePrefix="0" xfId="0"/>
    <xf numFmtId="0" fontId="4" fillId="5" borderId="4" pivotButton="0" quotePrefix="0" xfId="0"/>
    <xf numFmtId="0" fontId="5" fillId="4" borderId="4" applyAlignment="1" pivotButton="0" quotePrefix="0" xfId="0">
      <alignment horizontal="right"/>
    </xf>
    <xf numFmtId="0" fontId="0" fillId="3" borderId="0" pivotButton="0" quotePrefix="0" xfId="0"/>
    <xf numFmtId="0" fontId="0" fillId="3" borderId="4" pivotButton="0" quotePrefix="0" xfId="0"/>
    <xf numFmtId="0" fontId="4" fillId="3" borderId="4" pivotButton="0" quotePrefix="0" xfId="0"/>
    <xf numFmtId="0" fontId="0" fillId="3" borderId="4" pivotButton="0" quotePrefix="0" xfId="0"/>
    <xf numFmtId="0" fontId="0" fillId="4" borderId="4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Ripartizione spese</a:t>
            </a:r>
          </a:p>
        </rich>
      </tx>
      <layout>
        <manualLayout>
          <xMode val="edge"/>
          <yMode val="edge"/>
          <wMode val="factor"/>
          <hMode val="factor"/>
          <x val="0"/>
          <y val="0"/>
        </manualLayout>
      </layout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'Foglio_analisi'!$A$2:$A$4</f>
            </numRef>
          </cat>
          <val>
            <numRef>
              <f>'Foglio_analisi'!$B$2:$B$4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Spese per categoria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'Foglio_analisi'!B7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A6A6A6"/>
              </a:solidFill>
              <a:ln xmlns:a="http://schemas.openxmlformats.org/drawingml/2006/main">
                <a:prstDash val="solid"/>
              </a:ln>
            </spPr>
          </dPt>
          <dPt>
            <idx val="0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A6A6A6"/>
              </a:solidFill>
              <a:ln xmlns:a="http://schemas.openxmlformats.org/drawingml/2006/main">
                <a:prstDash val="solid"/>
              </a:ln>
            </spPr>
          </dPt>
          <cat>
            <numRef>
              <f>'Foglio_analisi'!$A$8:$A$15</f>
            </numRef>
          </cat>
          <val>
            <numRef>
              <f>'Foglio_analisi'!$B$8:$B$15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Euro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"/>
              <y val="0.4"/>
            </manualLayout>
          </layout>
        </title>
        <majorTickMark val="out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Andamento liquidità</a:t>
            </a:r>
          </a:p>
        </rich>
      </tx>
    </title>
    <plotArea>
      <lineChart>
        <grouping val="standard"/>
        <ser>
          <idx val="0"/>
          <order val="0"/>
          <tx>
            <strRef>
              <f>'Foglio1'!F2</f>
            </strRef>
          </tx>
          <spPr>
            <a:ln xmlns:a="http://schemas.openxmlformats.org/drawingml/2006/main" w="220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'Foglio1'!$A$2:$A$37</f>
            </numRef>
          </cat>
          <val>
            <numRef>
              <f>'Foglio1'!$F$3:$F$37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Euro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"/>
              <y val="0.4"/>
            </manualLayout>
          </layout>
        </title>
        <majorTickMark val="out"/>
        <minorTickMark val="none"/>
        <crossAx val="1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37</row>
      <rowOff>0</rowOff>
    </from>
    <ext cx="54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tabSelected="1" workbookViewId="0">
      <pane ySplit="1" topLeftCell="A8" activePane="bottomLeft" state="frozen"/>
      <selection pane="bottomLeft" activeCell="A8" sqref="A8:A22"/>
    </sheetView>
  </sheetViews>
  <sheetFormatPr baseColWidth="8" defaultRowHeight="14.25" outlineLevelCol="0"/>
  <cols>
    <col width="14.86328125" bestFit="1" customWidth="1" min="1" max="1"/>
    <col width="9.1328125" customWidth="1" min="2" max="2"/>
    <col width="21.53125" bestFit="1" customWidth="1" min="3" max="3"/>
    <col width="24.86328125" bestFit="1" customWidth="1" min="4" max="4"/>
    <col width="12.73046875" bestFit="1" customWidth="1" min="5" max="5"/>
  </cols>
  <sheetData>
    <row r="1">
      <c r="A1" s="2" t="inlineStr">
        <is>
          <t>Data esecuzione</t>
        </is>
      </c>
      <c r="B1" s="2" t="inlineStr">
        <is>
          <t>Importo</t>
        </is>
      </c>
      <c r="C1" s="2" t="inlineStr">
        <is>
          <t>Categoria</t>
        </is>
      </c>
      <c r="D1" s="2" t="inlineStr">
        <is>
          <t>Merchant</t>
        </is>
      </c>
      <c r="E1" s="9" t="inlineStr">
        <is>
          <t>Id transazione</t>
        </is>
      </c>
      <c r="F1" t="inlineStr">
        <is>
          <t>Saldo</t>
        </is>
      </c>
    </row>
    <row r="2">
      <c r="A2" s="3" t="n">
        <v>46204</v>
      </c>
      <c r="B2" s="1" t="n">
        <v>1850</v>
      </c>
      <c r="C2" t="inlineStr">
        <is>
          <t>Stipendio</t>
        </is>
      </c>
      <c r="D2" t="inlineStr">
        <is>
          <t>Datore di lavoro SPA</t>
        </is>
      </c>
      <c r="E2" s="10">
        <f>"TXN-"&amp;TEXT(ROW()-1,"0000")</f>
        <v/>
      </c>
      <c r="F2" t="n">
        <v>1850</v>
      </c>
    </row>
    <row r="3">
      <c r="A3" s="3" t="n">
        <v>46205</v>
      </c>
      <c r="B3" s="1" t="n">
        <v>-22.65</v>
      </c>
      <c r="C3" t="inlineStr">
        <is>
          <t>Shopping</t>
        </is>
      </c>
      <c r="D3" t="inlineStr">
        <is>
          <t>Supermercato Esselunga</t>
        </is>
      </c>
      <c r="E3">
        <f>"TXN-"&amp;TEXT(ROW()-1,"0000")</f>
        <v/>
      </c>
      <c r="F3" t="n">
        <v>1827.35</v>
      </c>
    </row>
    <row r="4">
      <c r="A4" s="3" t="n">
        <v>46206</v>
      </c>
      <c r="B4" s="1" t="n">
        <v>-120</v>
      </c>
      <c r="C4" t="inlineStr">
        <is>
          <t>Bolletta luce</t>
        </is>
      </c>
      <c r="D4" t="inlineStr">
        <is>
          <t>Enel Energia</t>
        </is>
      </c>
      <c r="E4">
        <f>"TXN-"&amp;TEXT(ROW()-1,"0000")</f>
        <v/>
      </c>
      <c r="F4" t="n">
        <v>1707.35</v>
      </c>
    </row>
    <row r="5">
      <c r="A5" s="3" t="n">
        <v>46206</v>
      </c>
      <c r="B5" s="1" t="n">
        <v>-85</v>
      </c>
      <c r="C5" t="inlineStr">
        <is>
          <t>Bolletta gas</t>
        </is>
      </c>
      <c r="D5" t="inlineStr">
        <is>
          <t>Eni Gas e Luce</t>
        </is>
      </c>
      <c r="E5">
        <f>"TXN-"&amp;TEXT(ROW()-1,"0000")</f>
        <v/>
      </c>
      <c r="F5" t="n">
        <v>1622.35</v>
      </c>
    </row>
    <row r="6">
      <c r="A6" s="3" t="n">
        <v>46206</v>
      </c>
      <c r="B6" s="1" t="n">
        <v>-10</v>
      </c>
      <c r="C6" t="inlineStr">
        <is>
          <t>Abbonamento</t>
        </is>
      </c>
      <c r="D6" t="inlineStr">
        <is>
          <t>Anthropic Claude</t>
        </is>
      </c>
      <c r="E6">
        <f>"TXN-"&amp;TEXT(ROW()-1,"0000")</f>
        <v/>
      </c>
      <c r="F6" t="n">
        <v>1612.35</v>
      </c>
    </row>
    <row r="7">
      <c r="A7" s="3" t="n">
        <v>46207</v>
      </c>
      <c r="B7" s="1" t="n">
        <v>-12.95</v>
      </c>
      <c r="C7" t="inlineStr">
        <is>
          <t>Lifestyle</t>
        </is>
      </c>
      <c r="D7" t="inlineStr">
        <is>
          <t>Bar Centrale</t>
        </is>
      </c>
      <c r="E7">
        <f>"TXN-"&amp;TEXT(ROW()-1,"0000")</f>
        <v/>
      </c>
      <c r="F7" t="n">
        <v>1599.4</v>
      </c>
    </row>
    <row r="8">
      <c r="A8" s="3" t="n">
        <v>46208</v>
      </c>
      <c r="B8" s="1" t="n">
        <v>-7.5</v>
      </c>
      <c r="C8" t="inlineStr">
        <is>
          <t>Shopping</t>
        </is>
      </c>
      <c r="D8" t="inlineStr">
        <is>
          <t>Farmacia San Marco</t>
        </is>
      </c>
      <c r="E8">
        <f>"TXN-"&amp;TEXT(ROW()-1,"0000")</f>
        <v/>
      </c>
      <c r="F8" t="n">
        <v>1591.9</v>
      </c>
    </row>
    <row r="9">
      <c r="A9" s="3" t="n">
        <v>46209</v>
      </c>
      <c r="B9" s="1" t="n">
        <v>-200</v>
      </c>
      <c r="C9" t="inlineStr">
        <is>
          <t>Liquidità investita</t>
        </is>
      </c>
      <c r="D9" t="inlineStr">
        <is>
          <t>Directa SIM</t>
        </is>
      </c>
      <c r="E9">
        <f>"TXN-"&amp;TEXT(ROW()-1,"0000")</f>
        <v/>
      </c>
      <c r="F9" t="n">
        <v>1391.9</v>
      </c>
    </row>
    <row r="10">
      <c r="A10" s="3" t="n">
        <v>46209</v>
      </c>
      <c r="B10" s="1" t="n">
        <v>-9</v>
      </c>
      <c r="C10" t="inlineStr">
        <is>
          <t>Abbonamento</t>
        </is>
      </c>
      <c r="D10" t="inlineStr">
        <is>
          <t>Netflix</t>
        </is>
      </c>
      <c r="E10">
        <f>"TXN-"&amp;TEXT(ROW()-1,"0000")</f>
        <v/>
      </c>
      <c r="F10" t="n">
        <v>1382.9</v>
      </c>
    </row>
    <row r="11">
      <c r="A11" s="3" t="n">
        <v>46210</v>
      </c>
      <c r="B11" s="1" t="n">
        <v>-60</v>
      </c>
      <c r="C11" t="inlineStr">
        <is>
          <t>Bolletta telefono/internet</t>
        </is>
      </c>
      <c r="D11" t="inlineStr">
        <is>
          <t>TIM</t>
        </is>
      </c>
      <c r="E11">
        <f>"TXN-"&amp;TEXT(ROW()-1,"0000")</f>
        <v/>
      </c>
      <c r="F11" t="n">
        <v>1322.9</v>
      </c>
    </row>
    <row r="12">
      <c r="A12" s="3" t="n">
        <v>46211</v>
      </c>
      <c r="B12" s="1" t="n">
        <v>-17.75</v>
      </c>
      <c r="C12" t="inlineStr">
        <is>
          <t>Shopping</t>
        </is>
      </c>
      <c r="D12" t="inlineStr">
        <is>
          <t>Amazon</t>
        </is>
      </c>
      <c r="E12">
        <f>"TXN-"&amp;TEXT(ROW()-1,"0000")</f>
        <v/>
      </c>
      <c r="F12" t="n">
        <v>1305.15</v>
      </c>
    </row>
    <row r="13">
      <c r="A13" s="3" t="n">
        <v>46212</v>
      </c>
      <c r="B13" s="1" t="n">
        <v>42.75</v>
      </c>
      <c r="C13" t="inlineStr">
        <is>
          <t>Cedole maturate</t>
        </is>
      </c>
      <c r="D13" t="inlineStr">
        <is>
          <t>ETF iShares Core MSCI World</t>
        </is>
      </c>
      <c r="E13">
        <f>"TXN-"&amp;TEXT(ROW()-1,"0000")</f>
        <v/>
      </c>
      <c r="F13" t="n">
        <v>1347.9</v>
      </c>
    </row>
    <row r="14">
      <c r="A14" s="3" t="n">
        <v>46212</v>
      </c>
      <c r="B14" s="1" t="n">
        <v>-4.5</v>
      </c>
      <c r="C14" t="inlineStr">
        <is>
          <t>Abbonamento</t>
        </is>
      </c>
      <c r="D14" t="inlineStr">
        <is>
          <t>Disney Plus</t>
        </is>
      </c>
      <c r="E14">
        <f>"TXN-"&amp;TEXT(ROW()-1,"0000")</f>
        <v/>
      </c>
      <c r="F14" t="n">
        <v>1343.4</v>
      </c>
    </row>
    <row r="15">
      <c r="A15" s="3" t="n">
        <v>46213</v>
      </c>
      <c r="B15" s="1" t="n">
        <v>-11</v>
      </c>
      <c r="C15" t="inlineStr">
        <is>
          <t>Lifestyle</t>
        </is>
      </c>
      <c r="D15" t="inlineStr">
        <is>
          <t>Bar Roma</t>
        </is>
      </c>
      <c r="E15">
        <f>"TXN-"&amp;TEXT(ROW()-1,"0000")</f>
        <v/>
      </c>
      <c r="F15" t="n">
        <v>1332.4</v>
      </c>
    </row>
    <row r="16">
      <c r="A16" s="3" t="n">
        <v>46214</v>
      </c>
      <c r="B16" s="1" t="n">
        <v>-90</v>
      </c>
      <c r="C16" t="inlineStr">
        <is>
          <t>Shopping</t>
        </is>
      </c>
      <c r="D16" t="inlineStr">
        <is>
          <t>Zara</t>
        </is>
      </c>
      <c r="E16">
        <f>"TXN-"&amp;TEXT(ROW()-1,"0000")</f>
        <v/>
      </c>
      <c r="F16" t="n">
        <v>1242.4</v>
      </c>
    </row>
    <row r="17">
      <c r="A17" s="3" t="n">
        <v>46215</v>
      </c>
      <c r="B17" s="1" t="n">
        <v>-50</v>
      </c>
      <c r="C17" t="inlineStr">
        <is>
          <t>Bolletta acqua</t>
        </is>
      </c>
      <c r="D17" t="inlineStr">
        <is>
          <t>Servizio Idrico Comunale</t>
        </is>
      </c>
      <c r="E17">
        <f>"TXN-"&amp;TEXT(ROW()-1,"0000")</f>
        <v/>
      </c>
      <c r="F17" t="n">
        <v>1192.4</v>
      </c>
    </row>
    <row r="18">
      <c r="A18" s="3" t="n">
        <v>46216</v>
      </c>
      <c r="B18" s="1" t="n">
        <v>-14.2</v>
      </c>
      <c r="C18" t="inlineStr">
        <is>
          <t>Lifestyle</t>
        </is>
      </c>
      <c r="D18" t="inlineStr">
        <is>
          <t>Ristorante da Mario</t>
        </is>
      </c>
      <c r="E18">
        <f>"TXN-"&amp;TEXT(ROW()-1,"0000")</f>
        <v/>
      </c>
      <c r="F18" t="n">
        <v>1178.2</v>
      </c>
    </row>
    <row r="19">
      <c r="A19" s="3" t="n">
        <v>46216</v>
      </c>
      <c r="B19" s="1" t="n">
        <v>-5.5</v>
      </c>
      <c r="C19" t="inlineStr">
        <is>
          <t>Abbonamento</t>
        </is>
      </c>
      <c r="D19" t="inlineStr">
        <is>
          <t>Spotify</t>
        </is>
      </c>
      <c r="E19">
        <f>"TXN-"&amp;TEXT(ROW()-1,"0000")</f>
        <v/>
      </c>
      <c r="F19" t="n">
        <v>1172.7</v>
      </c>
    </row>
    <row r="20">
      <c r="A20" s="3" t="n">
        <v>46217</v>
      </c>
      <c r="B20" s="1" t="n">
        <v>-350</v>
      </c>
      <c r="C20" t="inlineStr">
        <is>
          <t>Liquidità investita</t>
        </is>
      </c>
      <c r="D20" t="inlineStr">
        <is>
          <t>Fineco Bank</t>
        </is>
      </c>
      <c r="E20">
        <f>"TXN-"&amp;TEXT(ROW()-1,"0000")</f>
        <v/>
      </c>
      <c r="F20" t="n">
        <v>822.6999999999998</v>
      </c>
    </row>
    <row r="21">
      <c r="A21" s="3" t="n">
        <v>46218</v>
      </c>
      <c r="B21" s="1" t="n">
        <v>15.2</v>
      </c>
      <c r="C21" t="inlineStr">
        <is>
          <t>Cedole maturate</t>
        </is>
      </c>
      <c r="D21" t="inlineStr">
        <is>
          <t>BTP Italia</t>
        </is>
      </c>
      <c r="E21">
        <f>"TXN-"&amp;TEXT(ROW()-1,"0000")</f>
        <v/>
      </c>
      <c r="F21" t="n">
        <v>837.8999999999999</v>
      </c>
    </row>
    <row r="22">
      <c r="A22" s="3" t="n">
        <v>46219</v>
      </c>
      <c r="B22" s="1" t="n">
        <v>-20</v>
      </c>
      <c r="C22" t="inlineStr">
        <is>
          <t>Lifestyle</t>
        </is>
      </c>
      <c r="D22" t="inlineStr">
        <is>
          <t>Trenitalia</t>
        </is>
      </c>
      <c r="E22">
        <f>"TXN-"&amp;TEXT(ROW()-1,"0000")</f>
        <v/>
      </c>
      <c r="F22" t="n">
        <v>817.8999999999999</v>
      </c>
    </row>
    <row r="23">
      <c r="A23" s="3" t="n">
        <v>46220</v>
      </c>
      <c r="B23" s="1" t="n">
        <v>-6.25</v>
      </c>
      <c r="C23" t="inlineStr">
        <is>
          <t>Lifestyle</t>
        </is>
      </c>
      <c r="D23" t="inlineStr">
        <is>
          <t>Bar Centrale</t>
        </is>
      </c>
      <c r="E23">
        <f>"TXN-"&amp;TEXT(ROW()-1,"0000")</f>
        <v/>
      </c>
      <c r="F23" t="n">
        <v>811.6499999999999</v>
      </c>
    </row>
    <row r="24">
      <c r="A24" s="3" t="n">
        <v>46221</v>
      </c>
      <c r="B24" s="1" t="n">
        <v>-47.5</v>
      </c>
      <c r="C24" t="inlineStr">
        <is>
          <t>Shopping</t>
        </is>
      </c>
      <c r="D24" t="inlineStr">
        <is>
          <t>Decathlon</t>
        </is>
      </c>
      <c r="E24">
        <f>"TXN-"&amp;TEXT(ROW()-1,"0000")</f>
        <v/>
      </c>
      <c r="F24" t="n">
        <v>764.1499999999999</v>
      </c>
    </row>
    <row r="25">
      <c r="A25" s="3" t="n">
        <v>46222</v>
      </c>
      <c r="B25" s="1" t="n">
        <v>-9</v>
      </c>
      <c r="C25" t="inlineStr">
        <is>
          <t>Shopping</t>
        </is>
      </c>
      <c r="D25" t="inlineStr">
        <is>
          <t>Farmacia San Marco</t>
        </is>
      </c>
      <c r="E25">
        <f>"TXN-"&amp;TEXT(ROW()-1,"0000")</f>
        <v/>
      </c>
      <c r="F25" t="n">
        <v>755.1499999999999</v>
      </c>
    </row>
    <row r="26">
      <c r="A26" s="3" t="n">
        <v>46223</v>
      </c>
      <c r="B26" s="1" t="n">
        <v>-16.8</v>
      </c>
      <c r="C26" t="inlineStr">
        <is>
          <t>Shopping</t>
        </is>
      </c>
      <c r="D26" t="inlineStr">
        <is>
          <t>Amazon</t>
        </is>
      </c>
      <c r="E26">
        <f>"TXN-"&amp;TEXT(ROW()-1,"0000")</f>
        <v/>
      </c>
      <c r="F26" t="n">
        <v>738.3499999999999</v>
      </c>
    </row>
    <row r="27">
      <c r="A27" s="3" t="n">
        <v>46224</v>
      </c>
      <c r="B27" s="1" t="n">
        <v>-70</v>
      </c>
      <c r="C27" t="inlineStr">
        <is>
          <t>Bolletta luce</t>
        </is>
      </c>
      <c r="D27" t="inlineStr">
        <is>
          <t>Enel Energia</t>
        </is>
      </c>
      <c r="E27">
        <f>"TXN-"&amp;TEXT(ROW()-1,"0000")</f>
        <v/>
      </c>
      <c r="F27" t="n">
        <v>668.3499999999999</v>
      </c>
    </row>
    <row r="28">
      <c r="A28" s="3" t="n">
        <v>46225</v>
      </c>
      <c r="B28" s="1" t="n">
        <v>-12.5</v>
      </c>
      <c r="C28" t="inlineStr">
        <is>
          <t>Lifestyle</t>
        </is>
      </c>
      <c r="D28" t="inlineStr">
        <is>
          <t>Bar Roma</t>
        </is>
      </c>
      <c r="E28">
        <f>"TXN-"&amp;TEXT(ROW()-1,"0000")</f>
        <v/>
      </c>
      <c r="F28" t="n">
        <v>655.8499999999999</v>
      </c>
    </row>
    <row r="29">
      <c r="A29" s="3" t="n">
        <v>46226</v>
      </c>
      <c r="B29" s="1" t="n">
        <v>-75</v>
      </c>
      <c r="C29" t="inlineStr">
        <is>
          <t>Shopping</t>
        </is>
      </c>
      <c r="D29" t="inlineStr">
        <is>
          <t>Mediaworld</t>
        </is>
      </c>
      <c r="E29">
        <f>"TXN-"&amp;TEXT(ROW()-1,"0000")</f>
        <v/>
      </c>
      <c r="F29" t="n">
        <v>580.8499999999999</v>
      </c>
    </row>
    <row r="30">
      <c r="A30" s="3" t="n">
        <v>46227</v>
      </c>
      <c r="B30" s="1" t="n">
        <v>8.9</v>
      </c>
      <c r="C30" t="inlineStr">
        <is>
          <t>Cedole maturate</t>
        </is>
      </c>
      <c r="D30" t="inlineStr">
        <is>
          <t>ETF Vanguard FTSE All-World</t>
        </is>
      </c>
      <c r="E30">
        <f>"TXN-"&amp;TEXT(ROW()-1,"0000")</f>
        <v/>
      </c>
      <c r="F30" t="n">
        <v>589.7499999999999</v>
      </c>
    </row>
    <row r="31">
      <c r="A31" s="3" t="n">
        <v>46228</v>
      </c>
      <c r="B31" s="1" t="n">
        <v>-150</v>
      </c>
      <c r="C31" t="inlineStr">
        <is>
          <t>Liquidità investita</t>
        </is>
      </c>
      <c r="D31" t="inlineStr">
        <is>
          <t>Degiro</t>
        </is>
      </c>
      <c r="E31">
        <f>"TXN-"&amp;TEXT(ROW()-1,"0000")</f>
        <v/>
      </c>
      <c r="F31" t="n">
        <v>439.7499999999999</v>
      </c>
    </row>
    <row r="32">
      <c r="A32" s="3" t="n">
        <v>46229</v>
      </c>
      <c r="B32" s="1" t="n">
        <v>-22.5</v>
      </c>
      <c r="C32" t="inlineStr">
        <is>
          <t>Lifestyle</t>
        </is>
      </c>
      <c r="D32" t="inlineStr">
        <is>
          <t>Ristorante da Mario</t>
        </is>
      </c>
      <c r="E32">
        <f>"TXN-"&amp;TEXT(ROW()-1,"0000")</f>
        <v/>
      </c>
      <c r="F32" t="n">
        <v>417.2499999999999</v>
      </c>
    </row>
    <row r="33">
      <c r="A33" s="3" t="n">
        <v>46230</v>
      </c>
      <c r="B33" s="1" t="n">
        <v>-15</v>
      </c>
      <c r="C33" t="inlineStr">
        <is>
          <t>Lifestyle</t>
        </is>
      </c>
      <c r="D33" t="inlineStr">
        <is>
          <t>Autogrill</t>
        </is>
      </c>
      <c r="E33">
        <f>"TXN-"&amp;TEXT(ROW()-1,"0000")</f>
        <v/>
      </c>
      <c r="F33" t="n">
        <v>402.2499999999999</v>
      </c>
    </row>
    <row r="34">
      <c r="A34" s="4" t="n">
        <v>46231</v>
      </c>
      <c r="B34" s="5" t="n">
        <v>-55</v>
      </c>
      <c r="C34" t="inlineStr">
        <is>
          <t>Bolletta gas</t>
        </is>
      </c>
      <c r="D34" t="inlineStr">
        <is>
          <t>Eni Gas e Luce</t>
        </is>
      </c>
      <c r="E34">
        <f>"TXN-"&amp;TEXT(ROW()-1,"0000")</f>
        <v/>
      </c>
      <c r="F34" t="n">
        <v>347.2499999999999</v>
      </c>
    </row>
    <row r="35">
      <c r="A35" s="4" t="n">
        <v>46232</v>
      </c>
      <c r="B35" s="5" t="n">
        <v>-10</v>
      </c>
      <c r="C35" t="inlineStr">
        <is>
          <t>Lifestyle</t>
        </is>
      </c>
      <c r="D35" t="inlineStr">
        <is>
          <t>Bar Centrale</t>
        </is>
      </c>
      <c r="E35">
        <f>"TXN-"&amp;TEXT(ROW()-1,"0000")</f>
        <v/>
      </c>
      <c r="F35" t="n">
        <v>337.2499999999999</v>
      </c>
    </row>
    <row r="36">
      <c r="A36" s="4" t="n">
        <v>46233</v>
      </c>
      <c r="B36" s="5" t="n">
        <v>-5</v>
      </c>
      <c r="C36" t="inlineStr">
        <is>
          <t>Shopping</t>
        </is>
      </c>
      <c r="D36" t="inlineStr">
        <is>
          <t>Farmacia San Marco</t>
        </is>
      </c>
      <c r="E36">
        <f>"TXN-"&amp;TEXT(ROW()-1,"0000")</f>
        <v/>
      </c>
      <c r="F36" t="n">
        <v>332.2499999999999</v>
      </c>
    </row>
    <row r="37">
      <c r="A37" s="6" t="n">
        <v>46234</v>
      </c>
      <c r="B37" s="7" t="n">
        <v>-300</v>
      </c>
      <c r="C37" s="8" t="inlineStr">
        <is>
          <t>Liquidità investita</t>
        </is>
      </c>
      <c r="D37" s="8" t="inlineStr">
        <is>
          <t>Fineco Bank</t>
        </is>
      </c>
      <c r="E37" s="8">
        <f>"TXN-"&amp;TEXT(ROW()-1,"0000")</f>
        <v/>
      </c>
      <c r="F37" t="n">
        <v>32.24999999999989</v>
      </c>
    </row>
  </sheetData>
  <autoFilter ref="A1:E37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008000"/>
    <outlinePr summaryBelow="1" summaryRight="1"/>
    <pageSetUpPr/>
  </sheetPr>
  <dimension ref="A1:S60"/>
  <sheetViews>
    <sheetView showGridLines="0" workbookViewId="0">
      <selection activeCell="A1" sqref="A1"/>
    </sheetView>
  </sheetViews>
  <sheetFormatPr baseColWidth="8" defaultRowHeight="15" outlineLevelCol="0"/>
  <cols>
    <col width="26" customWidth="1" min="1" max="1"/>
    <col width="15" customWidth="1" min="2" max="2"/>
  </cols>
  <sheetData>
    <row r="1">
      <c r="A1" s="11" t="inlineStr">
        <is>
          <t>Entrate totali</t>
        </is>
      </c>
      <c r="B1" s="12" t="n">
        <v>1916.85</v>
      </c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</row>
    <row r="2">
      <c r="A2" s="11" t="inlineStr">
        <is>
          <t>Uscite totali</t>
        </is>
      </c>
      <c r="B2" s="12" t="n">
        <v>884.5999999999999</v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</row>
    <row r="3">
      <c r="A3" s="11" t="inlineStr">
        <is>
          <t>Investimenti</t>
        </is>
      </c>
      <c r="B3" s="12" t="n">
        <v>1000</v>
      </c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</row>
    <row r="4">
      <c r="A4" s="11" t="inlineStr">
        <is>
          <t>Saldo</t>
        </is>
      </c>
      <c r="B4" s="12" t="n">
        <v>32.25000000000023</v>
      </c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</row>
    <row r="7">
      <c r="A7" s="11" t="inlineStr">
        <is>
          <t>Categoria</t>
        </is>
      </c>
      <c r="B7" s="11" t="inlineStr">
        <is>
          <t>Spesa</t>
        </is>
      </c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</row>
    <row r="8">
      <c r="A8" s="17" t="inlineStr">
        <is>
          <t>Shopping</t>
        </is>
      </c>
      <c r="B8" s="17" t="n">
        <v>291.2</v>
      </c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</row>
    <row r="9">
      <c r="A9" s="17" t="inlineStr">
        <is>
          <t>Bolletta luce</t>
        </is>
      </c>
      <c r="B9" s="17" t="n">
        <v>190</v>
      </c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</row>
    <row r="10">
      <c r="A10" s="17" t="inlineStr">
        <is>
          <t>Bolletta gas</t>
        </is>
      </c>
      <c r="B10" s="17" t="n">
        <v>140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</row>
    <row r="11">
      <c r="A11" s="17" t="inlineStr">
        <is>
          <t>Lifestyle</t>
        </is>
      </c>
      <c r="B11" s="17" t="n">
        <v>124.4</v>
      </c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</row>
    <row r="12">
      <c r="A12" s="17" t="inlineStr">
        <is>
          <t>Liquidità investita</t>
        </is>
      </c>
      <c r="B12" s="17" t="n">
        <v>1000</v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</row>
    <row r="13">
      <c r="A13" s="17" t="inlineStr">
        <is>
          <t>Bolletta telefono/internet</t>
        </is>
      </c>
      <c r="B13" s="17" t="n">
        <v>60</v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</row>
    <row r="14">
      <c r="A14" s="17" t="inlineStr">
        <is>
          <t>Bolletta acqua</t>
        </is>
      </c>
      <c r="B14" s="17" t="n">
        <v>50</v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</row>
    <row r="15">
      <c r="A15" s="17" t="inlineStr">
        <is>
          <t>Abbonamento</t>
        </is>
      </c>
      <c r="B15" s="17" t="n">
        <v>29</v>
      </c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Gabriele Giudici</dc:creator>
  <dcterms:created xmlns:dcterms="http://purl.org/dc/terms/" xmlns:xsi="http://www.w3.org/2001/XMLSchema-instance" xsi:type="dcterms:W3CDTF">2026-07-14T13:44:08Z</dcterms:created>
  <dcterms:modified xmlns:dcterms="http://purl.org/dc/terms/" xmlns:xsi="http://www.w3.org/2001/XMLSchema-instance" xsi:type="dcterms:W3CDTF">2026-07-15T10:22:52Z</dcterms:modified>
  <cp:lastModifiedBy>Gabriele Giudici</cp:lastModifiedBy>
</cp:coreProperties>
</file>